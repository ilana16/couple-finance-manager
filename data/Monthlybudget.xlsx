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NIS" sheetId="1" r:id="rId3"/>
    <sheet state="visible" name="Summary USD" sheetId="2" r:id="rId4"/>
  </sheets>
  <definedNames>
    <definedName name="StartingBalance">'Summary NIS'!$K$2</definedName>
    <definedName localSheetId="1" name="StartingBalance">'Summary USD'!$K$2</definedName>
  </definedNames>
  <calcPr/>
</workbook>
</file>

<file path=xl/sharedStrings.xml><?xml version="1.0" encoding="utf-8"?>
<sst xmlns="http://schemas.openxmlformats.org/spreadsheetml/2006/main" count="58" uniqueCount="26">
  <si>
    <t>Budget</t>
  </si>
  <si>
    <t xml:space="preserve">Starting balance: </t>
  </si>
  <si>
    <t>Monthly Expenses:</t>
  </si>
  <si>
    <t>Monthly Income:</t>
  </si>
  <si>
    <t>Monthly What's Left:</t>
  </si>
  <si>
    <t>Weekly Expenses:</t>
  </si>
  <si>
    <t>Weekly Income:</t>
  </si>
  <si>
    <t>Weekly What's Left:</t>
  </si>
  <si>
    <t>Expenses</t>
  </si>
  <si>
    <t>Income</t>
  </si>
  <si>
    <t>Monthly</t>
  </si>
  <si>
    <t>Weekly</t>
  </si>
  <si>
    <t>Total</t>
  </si>
  <si>
    <t>Food</t>
  </si>
  <si>
    <t xml:space="preserve">Allowance </t>
  </si>
  <si>
    <t>Health/medical</t>
  </si>
  <si>
    <t>Paycheck</t>
  </si>
  <si>
    <t>Transportation</t>
  </si>
  <si>
    <t>Meds</t>
  </si>
  <si>
    <t xml:space="preserve">Toiletries </t>
  </si>
  <si>
    <t>Rav-Kav</t>
  </si>
  <si>
    <t>Subscriptions</t>
  </si>
  <si>
    <t>Vape</t>
  </si>
  <si>
    <t>Off-Base Food</t>
  </si>
  <si>
    <t>Hostel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</si>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</sst>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₪]#,##0.00"/>
    <numFmt numFmtId="165" formatCode="&quot;$&quot;#,##0"/>
    <numFmt numFmtId="166" formatCode="+$#,#;-$#,#;$0"/>
    <numFmt numFmtId="167" formatCode="&quot;$&quot;#,##0.00"/>
  </numFmts>
  <fonts count="24">
    <font>
      <sz val="10.0"/>
      <color rgb="FF000000"/>
      <name val="Arial"/>
    </font>
    <font>
      <sz val="10.0"/>
      <name val="Lato"/>
    </font>
    <font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F46524"/>
      <name val="Raleway"/>
    </font>
    <font>
      <b/>
      <sz val="10.0"/>
      <color rgb="FF334960"/>
      <name val="Lato"/>
    </font>
    <font>
      <color rgb="FF334960"/>
      <name val="Lato"/>
    </font>
    <font>
      <i/>
      <sz val="10.0"/>
      <color rgb="FF334960"/>
      <name val="Lato"/>
    </font>
    <font>
      <sz val="10.0"/>
      <color rgb="FF576475"/>
      <name val="Lato"/>
    </font>
    <font>
      <b/>
      <sz val="14.0"/>
      <color rgb="FF576475"/>
      <name val="Lato"/>
    </font>
    <font>
      <b/>
      <sz val="14.0"/>
      <color rgb="FF334960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name val="Lato"/>
    </font>
    <font>
      <b/>
      <sz val="18.0"/>
      <color rgb="FFF46524"/>
      <name val="Raleway"/>
    </font>
    <font>
      <b/>
      <sz val="18.0"/>
      <color rgb="FFF46524"/>
      <name val="Lato"/>
    </font>
    <font>
      <i/>
      <sz val="9.0"/>
      <color rgb="FF687887"/>
      <name val="Lato"/>
    </font>
    <font>
      <b/>
      <sz val="10.0"/>
      <color rgb="FF434343"/>
      <name val="Lato"/>
    </font>
    <font/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ED"/>
        <bgColor rgb="FFFFF2ED"/>
      </patternFill>
    </fill>
  </fills>
  <borders count="1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2" fontId="5" numFmtId="0" xfId="0" applyAlignment="1" applyFill="1" applyFont="1">
      <alignment horizontal="left" readingOrder="0" vertical="top"/>
    </xf>
    <xf borderId="0" fillId="0" fontId="2" numFmtId="0" xfId="0" applyFont="1"/>
    <xf borderId="0" fillId="0" fontId="6" numFmtId="0" xfId="0" applyAlignment="1" applyFont="1">
      <alignment horizontal="right" readingOrder="0" vertical="center"/>
    </xf>
    <xf borderId="0" fillId="3" fontId="7" numFmtId="164" xfId="0" applyAlignment="1" applyFill="1" applyFont="1" applyNumberFormat="1">
      <alignment readingOrder="0" vertical="center"/>
    </xf>
    <xf borderId="0" fillId="0" fontId="8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9" numFmtId="0" xfId="0" applyAlignment="1" applyFont="1">
      <alignment vertical="center"/>
    </xf>
    <xf borderId="1" fillId="0" fontId="10" numFmtId="0" xfId="0" applyAlignment="1" applyBorder="1" applyFont="1">
      <alignment horizontal="left" readingOrder="0" vertical="center"/>
    </xf>
    <xf borderId="2" fillId="0" fontId="9" numFmtId="164" xfId="0" applyAlignment="1" applyBorder="1" applyFont="1" applyNumberFormat="1">
      <alignment horizontal="center" vertical="center"/>
    </xf>
    <xf borderId="3" fillId="0" fontId="11" numFmtId="0" xfId="0" applyAlignment="1" applyBorder="1" applyFont="1">
      <alignment horizontal="left" readingOrder="0" vertical="center"/>
    </xf>
    <xf borderId="4" fillId="0" fontId="9" numFmtId="164" xfId="0" applyAlignment="1" applyBorder="1" applyFont="1" applyNumberFormat="1">
      <alignment horizontal="left" vertical="center"/>
    </xf>
    <xf borderId="0" fillId="2" fontId="9" numFmtId="0" xfId="0" applyAlignment="1" applyFont="1">
      <alignment vertical="center"/>
    </xf>
    <xf borderId="0" fillId="0" fontId="12" numFmtId="0" xfId="0" applyAlignment="1" applyFont="1">
      <alignment vertical="top"/>
    </xf>
    <xf borderId="0" fillId="0" fontId="13" numFmtId="0" xfId="0" applyAlignment="1" applyFont="1">
      <alignment horizontal="left" vertical="top"/>
    </xf>
    <xf borderId="0" fillId="0" fontId="14" numFmtId="0" xfId="0" applyAlignment="1" applyFont="1">
      <alignment vertical="top"/>
    </xf>
    <xf borderId="0" fillId="0" fontId="15" numFmtId="0" xfId="0" applyAlignment="1" applyFont="1">
      <alignment horizontal="left" vertical="top"/>
    </xf>
    <xf borderId="0" fillId="0" fontId="16" numFmtId="0" xfId="0" applyAlignment="1" applyFont="1">
      <alignment horizontal="left" vertical="top"/>
    </xf>
    <xf borderId="0" fillId="0" fontId="14" numFmtId="0" xfId="0" applyAlignment="1" applyFont="1">
      <alignment horizontal="center" readingOrder="0" vertical="bottom"/>
    </xf>
    <xf borderId="0" fillId="0" fontId="17" numFmtId="0" xfId="0" applyAlignment="1" applyFont="1">
      <alignment vertical="top"/>
    </xf>
    <xf borderId="5" fillId="0" fontId="17" numFmtId="0" xfId="0" applyAlignment="1" applyBorder="1" applyFont="1">
      <alignment readingOrder="0" vertical="top"/>
    </xf>
    <xf borderId="5" fillId="0" fontId="17" numFmtId="0" xfId="0" applyAlignment="1" applyBorder="1" applyFont="1">
      <alignment vertical="top"/>
    </xf>
    <xf borderId="5" fillId="0" fontId="17" numFmtId="164" xfId="0" applyAlignment="1" applyBorder="1" applyFont="1" applyNumberFormat="1">
      <alignment horizontal="right" vertical="top"/>
    </xf>
    <xf borderId="0" fillId="0" fontId="17" numFmtId="164" xfId="0" applyAlignment="1" applyFont="1" applyNumberFormat="1">
      <alignment horizontal="right" vertical="top"/>
    </xf>
    <xf borderId="5" fillId="0" fontId="17" numFmtId="0" xfId="0" applyAlignment="1" applyBorder="1" applyFont="1">
      <alignment horizontal="left" readingOrder="0" vertical="top"/>
    </xf>
    <xf borderId="5" fillId="0" fontId="17" numFmtId="0" xfId="0" applyAlignment="1" applyBorder="1" applyFont="1">
      <alignment horizontal="right" readingOrder="0" vertical="top"/>
    </xf>
    <xf borderId="0" fillId="0" fontId="3" numFmtId="0" xfId="0" applyAlignment="1" applyFont="1">
      <alignment vertical="center"/>
    </xf>
    <xf borderId="6" fillId="0" fontId="18" numFmtId="165" xfId="0" applyAlignment="1" applyBorder="1" applyFont="1" applyNumberFormat="1">
      <alignment readingOrder="0" vertical="center"/>
    </xf>
    <xf borderId="7" fillId="0" fontId="19" numFmtId="0" xfId="0" applyBorder="1" applyFont="1"/>
    <xf borderId="8" fillId="0" fontId="20" numFmtId="164" xfId="0" applyAlignment="1" applyBorder="1" applyFont="1" applyNumberFormat="1">
      <alignment horizontal="right" readingOrder="0" vertical="center"/>
    </xf>
    <xf borderId="0" fillId="0" fontId="20" numFmtId="164" xfId="0" applyAlignment="1" applyFont="1" applyNumberFormat="1">
      <alignment horizontal="right" vertical="center"/>
    </xf>
    <xf borderId="9" fillId="0" fontId="18" numFmtId="165" xfId="0" applyAlignment="1" applyBorder="1" applyFont="1" applyNumberFormat="1">
      <alignment vertical="center"/>
    </xf>
    <xf borderId="10" fillId="0" fontId="19" numFmtId="0" xfId="0" applyBorder="1" applyFont="1"/>
    <xf borderId="9" fillId="0" fontId="20" numFmtId="165" xfId="0" applyAlignment="1" applyBorder="1" applyFont="1" applyNumberFormat="1">
      <alignment horizontal="right" readingOrder="0" vertical="center"/>
    </xf>
    <xf borderId="0" fillId="0" fontId="20" numFmtId="166" xfId="0" applyAlignment="1" applyFont="1" applyNumberFormat="1">
      <alignment horizontal="right" vertical="center"/>
    </xf>
    <xf borderId="11" fillId="0" fontId="18" numFmtId="165" xfId="0" applyAlignment="1" applyBorder="1" applyFont="1" applyNumberFormat="1">
      <alignment vertical="center"/>
    </xf>
    <xf borderId="12" fillId="0" fontId="19" numFmtId="0" xfId="0" applyBorder="1" applyFont="1"/>
    <xf borderId="13" fillId="0" fontId="20" numFmtId="164" xfId="0" applyAlignment="1" applyBorder="1" applyFont="1" applyNumberFormat="1">
      <alignment horizontal="right" readingOrder="0" vertical="center"/>
    </xf>
    <xf borderId="0" fillId="0" fontId="20" numFmtId="164" xfId="0" applyAlignment="1" applyFont="1" applyNumberFormat="1">
      <alignment horizontal="right" readingOrder="0" vertical="center"/>
    </xf>
    <xf borderId="11" fillId="0" fontId="18" numFmtId="165" xfId="0" applyAlignment="1" applyBorder="1" applyFont="1" applyNumberFormat="1">
      <alignment readingOrder="0" vertical="center"/>
    </xf>
    <xf borderId="11" fillId="0" fontId="20" numFmtId="164" xfId="0" applyAlignment="1" applyBorder="1" applyFont="1" applyNumberFormat="1">
      <alignment readingOrder="0" vertical="center"/>
    </xf>
    <xf borderId="0" fillId="0" fontId="21" numFmtId="164" xfId="0" applyAlignment="1" applyFont="1" applyNumberFormat="1">
      <alignment horizontal="right" vertical="center"/>
    </xf>
    <xf borderId="11" fillId="0" fontId="20" numFmtId="164" xfId="0" applyAlignment="1" applyBorder="1" applyFont="1" applyNumberFormat="1">
      <alignment horizontal="right" readingOrder="0" vertical="center"/>
    </xf>
    <xf borderId="0" fillId="0" fontId="1" numFmtId="0" xfId="0" applyAlignment="1" applyFont="1">
      <alignment vertical="center"/>
    </xf>
    <xf borderId="13" fillId="0" fontId="20" numFmtId="164" xfId="0" applyAlignment="1" applyBorder="1" applyFont="1" applyNumberFormat="1">
      <alignment horizontal="right" readingOrder="0"/>
    </xf>
    <xf borderId="11" fillId="0" fontId="22" numFmtId="0" xfId="0" applyAlignment="1" applyBorder="1" applyFont="1">
      <alignment readingOrder="0"/>
    </xf>
    <xf borderId="13" fillId="0" fontId="23" numFmtId="165" xfId="0" applyAlignment="1" applyBorder="1" applyFont="1" applyNumberFormat="1">
      <alignment readingOrder="0"/>
    </xf>
    <xf borderId="0" fillId="0" fontId="20" numFmtId="165" xfId="0" applyAlignment="1" applyFont="1" applyNumberFormat="1">
      <alignment horizontal="right" vertical="center"/>
    </xf>
    <xf borderId="0" fillId="0" fontId="21" numFmtId="166" xfId="0" applyAlignment="1" applyFont="1" applyNumberFormat="1">
      <alignment horizontal="right" vertical="center"/>
    </xf>
    <xf borderId="0" fillId="0" fontId="18" numFmtId="165" xfId="0" applyAlignment="1" applyFont="1" applyNumberFormat="1">
      <alignment vertical="center"/>
    </xf>
    <xf borderId="0" fillId="0" fontId="22" numFmtId="0" xfId="0" applyAlignment="1" applyFont="1">
      <alignment readingOrder="0"/>
    </xf>
    <xf borderId="0" fillId="0" fontId="23" numFmtId="165" xfId="0" applyAlignment="1" applyFont="1" applyNumberFormat="1">
      <alignment readingOrder="0"/>
    </xf>
    <xf borderId="0" fillId="3" fontId="7" numFmtId="167" xfId="0" applyAlignment="1" applyFont="1" applyNumberFormat="1">
      <alignment readingOrder="0" vertical="center"/>
    </xf>
    <xf borderId="2" fillId="0" fontId="9" numFmtId="167" xfId="0" applyAlignment="1" applyBorder="1" applyFont="1" applyNumberFormat="1">
      <alignment horizontal="center" vertical="center"/>
    </xf>
    <xf borderId="4" fillId="0" fontId="9" numFmtId="167" xfId="0" applyAlignment="1" applyBorder="1" applyFont="1" applyNumberFormat="1">
      <alignment horizontal="left" vertical="center"/>
    </xf>
    <xf borderId="5" fillId="0" fontId="17" numFmtId="167" xfId="0" applyAlignment="1" applyBorder="1" applyFont="1" applyNumberFormat="1">
      <alignment horizontal="right" vertical="top"/>
    </xf>
    <xf borderId="8" fillId="0" fontId="20" numFmtId="167" xfId="0" applyAlignment="1" applyBorder="1" applyFont="1" applyNumberFormat="1">
      <alignment horizontal="right" readingOrder="0" vertical="center"/>
    </xf>
    <xf borderId="9" fillId="0" fontId="20" numFmtId="167" xfId="0" applyAlignment="1" applyBorder="1" applyFont="1" applyNumberFormat="1">
      <alignment horizontal="right" readingOrder="0" vertical="center"/>
    </xf>
    <xf borderId="13" fillId="0" fontId="20" numFmtId="167" xfId="0" applyAlignment="1" applyBorder="1" applyFont="1" applyNumberFormat="1">
      <alignment horizontal="right" readingOrder="0" vertical="center"/>
    </xf>
    <xf borderId="11" fillId="0" fontId="20" numFmtId="167" xfId="0" applyAlignment="1" applyBorder="1" applyFont="1" applyNumberFormat="1">
      <alignment readingOrder="0" vertical="center"/>
    </xf>
    <xf borderId="11" fillId="0" fontId="20" numFmtId="167" xfId="0" applyAlignment="1" applyBorder="1" applyFont="1" applyNumberFormat="1">
      <alignment horizontal="right" readingOrder="0" vertical="center"/>
    </xf>
    <xf borderId="13" fillId="0" fontId="20" numFmtId="167" xfId="0" applyAlignment="1" applyBorder="1" applyFont="1" applyNumberFormat="1">
      <alignment horizontal="right" readingOrder="0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21.0"/>
    <col customWidth="1" min="3" max="3" width="8.88"/>
    <col customWidth="1" min="4" max="4" width="18.5"/>
    <col customWidth="1" min="5" max="5" width="8.88"/>
    <col customWidth="1" min="6" max="6" width="23.63"/>
    <col customWidth="1" min="7" max="7" width="11.25"/>
    <col customWidth="1" min="8" max="8" width="10.25"/>
    <col customWidth="1" min="9" max="11" width="8.88"/>
    <col customWidth="1" min="12" max="12" width="6.13"/>
  </cols>
  <sheetData>
    <row r="1" ht="21.0" customHeight="1">
      <c r="A1" s="1"/>
      <c r="B1" s="2"/>
      <c r="C1" s="2"/>
      <c r="D1" s="2"/>
      <c r="E1" s="3"/>
      <c r="F1" s="3"/>
      <c r="G1" s="4"/>
      <c r="H1" s="4"/>
      <c r="I1" s="4"/>
      <c r="J1" s="4"/>
      <c r="K1" s="4"/>
      <c r="L1" s="4"/>
    </row>
    <row r="2" ht="18.0" customHeight="1">
      <c r="A2" s="5"/>
      <c r="B2" s="6" t="s">
        <v>0</v>
      </c>
      <c r="G2" s="4"/>
      <c r="H2" s="7"/>
      <c r="I2" s="8" t="s">
        <v>1</v>
      </c>
      <c r="K2" s="9">
        <v>0.0</v>
      </c>
      <c r="L2" s="4"/>
    </row>
    <row r="3" ht="18.0" customHeight="1">
      <c r="A3" s="5"/>
      <c r="G3" s="4"/>
      <c r="H3" s="10"/>
      <c r="I3" s="4"/>
      <c r="J3" s="4"/>
      <c r="K3" s="11"/>
      <c r="L3" s="4"/>
    </row>
    <row r="4" ht="19.5" customHeight="1">
      <c r="A4" s="12"/>
      <c r="B4" s="13" t="s">
        <v>2</v>
      </c>
      <c r="C4" s="14">
        <f>D8</f>
        <v>4325</v>
      </c>
      <c r="D4" s="15" t="s">
        <v>3</v>
      </c>
      <c r="E4" s="14">
        <f>I8</f>
        <v>4115</v>
      </c>
      <c r="F4" s="15" t="s">
        <v>4</v>
      </c>
      <c r="G4" s="16">
        <f>SUM(E4-C4)</f>
        <v>-210</v>
      </c>
      <c r="I4" s="17"/>
      <c r="J4" s="17"/>
      <c r="K4" s="17"/>
      <c r="L4" s="12"/>
    </row>
    <row r="5" ht="19.5" customHeight="1">
      <c r="A5" s="12"/>
      <c r="B5" s="13" t="s">
        <v>5</v>
      </c>
      <c r="C5" s="14">
        <f>C4/4</f>
        <v>1081.25</v>
      </c>
      <c r="D5" s="15" t="s">
        <v>6</v>
      </c>
      <c r="E5" s="14">
        <f>E4/4</f>
        <v>1028.75</v>
      </c>
      <c r="F5" s="15" t="s">
        <v>7</v>
      </c>
      <c r="G5" s="16">
        <f>G4/4</f>
        <v>-52.5</v>
      </c>
      <c r="I5" s="17"/>
      <c r="J5" s="17"/>
      <c r="K5" s="17"/>
      <c r="L5" s="12"/>
    </row>
    <row r="6" ht="25.5" customHeight="1">
      <c r="A6" s="18"/>
      <c r="B6" s="19" t="s">
        <v>8</v>
      </c>
      <c r="D6" s="20"/>
      <c r="E6" s="20"/>
      <c r="F6" s="20"/>
      <c r="G6" s="21" t="s">
        <v>9</v>
      </c>
      <c r="H6" s="22"/>
      <c r="I6" s="20"/>
      <c r="J6" s="20"/>
      <c r="K6" s="20"/>
      <c r="L6" s="18"/>
    </row>
    <row r="7" ht="13.5" customHeight="1">
      <c r="A7" s="18"/>
      <c r="B7" s="19"/>
      <c r="C7" s="19"/>
      <c r="D7" s="23" t="s">
        <v>10</v>
      </c>
      <c r="E7" s="23" t="s">
        <v>11</v>
      </c>
      <c r="F7" s="20"/>
      <c r="G7" s="21"/>
      <c r="H7" s="22"/>
      <c r="I7" s="23" t="s">
        <v>10</v>
      </c>
      <c r="J7" s="23" t="s">
        <v>11</v>
      </c>
      <c r="K7" s="20"/>
      <c r="L7" s="18"/>
    </row>
    <row r="8" ht="17.25" customHeight="1">
      <c r="A8" s="24"/>
      <c r="B8" s="25" t="s">
        <v>12</v>
      </c>
      <c r="C8" s="26"/>
      <c r="D8" s="27">
        <f t="shared" ref="D8:E8" si="1">sum(D9:D19)</f>
        <v>4325</v>
      </c>
      <c r="E8" s="27">
        <f t="shared" si="1"/>
        <v>1143.75</v>
      </c>
      <c r="F8" s="28"/>
      <c r="G8" s="29" t="s">
        <v>12</v>
      </c>
      <c r="H8" s="30"/>
      <c r="I8" s="27">
        <f t="shared" ref="I8:J8" si="2">sum(I9:I18)</f>
        <v>4115</v>
      </c>
      <c r="J8" s="27">
        <f t="shared" si="2"/>
        <v>1028.75</v>
      </c>
      <c r="K8" s="28"/>
      <c r="L8" s="24"/>
    </row>
    <row r="9" ht="18.0" hidden="1" customHeight="1">
      <c r="A9" s="31"/>
      <c r="B9" s="32"/>
      <c r="C9" s="33"/>
      <c r="D9" s="34"/>
      <c r="E9" s="34"/>
      <c r="F9" s="35"/>
      <c r="G9" s="36"/>
      <c r="H9" s="37"/>
      <c r="I9" s="38"/>
      <c r="J9" s="38"/>
      <c r="K9" s="39"/>
      <c r="L9" s="31"/>
    </row>
    <row r="10" ht="18.0" customHeight="1">
      <c r="A10" s="31"/>
      <c r="B10" s="40" t="s">
        <v>13</v>
      </c>
      <c r="C10" s="41"/>
      <c r="D10" s="42">
        <v>1200.0</v>
      </c>
      <c r="E10" s="42">
        <f t="shared" ref="E10:E17" si="3">D10/4</f>
        <v>300</v>
      </c>
      <c r="F10" s="43"/>
      <c r="G10" s="44" t="s">
        <v>14</v>
      </c>
      <c r="H10" s="41"/>
      <c r="I10" s="45">
        <v>1350.0</v>
      </c>
      <c r="J10" s="45">
        <f t="shared" ref="J10:J13" si="4">I10/4</f>
        <v>337.5</v>
      </c>
      <c r="K10" s="46"/>
      <c r="L10" s="31"/>
    </row>
    <row r="11" ht="18.0" customHeight="1">
      <c r="A11" s="31"/>
      <c r="B11" s="40" t="s">
        <v>15</v>
      </c>
      <c r="C11" s="41"/>
      <c r="D11" s="42">
        <v>1300.0</v>
      </c>
      <c r="E11" s="42">
        <f t="shared" si="3"/>
        <v>325</v>
      </c>
      <c r="F11" s="43"/>
      <c r="G11" s="40" t="s">
        <v>16</v>
      </c>
      <c r="H11" s="41"/>
      <c r="I11" s="47">
        <v>1000.0</v>
      </c>
      <c r="J11" s="47">
        <f t="shared" si="4"/>
        <v>250</v>
      </c>
      <c r="K11" s="46"/>
      <c r="L11" s="31"/>
    </row>
    <row r="12" ht="18.0" customHeight="1">
      <c r="A12" s="48"/>
      <c r="B12" s="40" t="s">
        <v>17</v>
      </c>
      <c r="C12" s="41"/>
      <c r="D12" s="42">
        <v>465.0</v>
      </c>
      <c r="E12" s="42">
        <f t="shared" si="3"/>
        <v>116.25</v>
      </c>
      <c r="F12" s="43"/>
      <c r="G12" s="44" t="s">
        <v>18</v>
      </c>
      <c r="H12" s="41"/>
      <c r="I12" s="42">
        <v>1300.0</v>
      </c>
      <c r="J12" s="47">
        <f t="shared" si="4"/>
        <v>325</v>
      </c>
      <c r="K12" s="46"/>
      <c r="L12" s="48"/>
    </row>
    <row r="13" ht="18.0" customHeight="1">
      <c r="A13" s="48"/>
      <c r="B13" s="44" t="s">
        <v>19</v>
      </c>
      <c r="C13" s="41"/>
      <c r="D13" s="42">
        <v>150.0</v>
      </c>
      <c r="E13" s="42">
        <f t="shared" si="3"/>
        <v>37.5</v>
      </c>
      <c r="F13" s="43"/>
      <c r="G13" s="44" t="s">
        <v>20</v>
      </c>
      <c r="H13" s="41"/>
      <c r="I13" s="42">
        <v>465.0</v>
      </c>
      <c r="J13" s="47">
        <f t="shared" si="4"/>
        <v>116.25</v>
      </c>
      <c r="K13" s="46"/>
      <c r="L13" s="48"/>
    </row>
    <row r="14" ht="18.0" customHeight="1">
      <c r="A14" s="48"/>
      <c r="B14" s="44" t="s">
        <v>21</v>
      </c>
      <c r="C14" s="41"/>
      <c r="D14" s="49">
        <v>70.0</v>
      </c>
      <c r="E14" s="49">
        <f t="shared" si="3"/>
        <v>17.5</v>
      </c>
      <c r="F14" s="43"/>
      <c r="K14" s="46"/>
      <c r="L14" s="48"/>
    </row>
    <row r="15" ht="18.0" customHeight="1">
      <c r="A15" s="48"/>
      <c r="B15" s="44" t="s">
        <v>22</v>
      </c>
      <c r="C15" s="41"/>
      <c r="D15" s="49">
        <v>150.0</v>
      </c>
      <c r="E15" s="49">
        <f t="shared" si="3"/>
        <v>37.5</v>
      </c>
      <c r="F15" s="43"/>
      <c r="J15" s="43"/>
      <c r="K15" s="46"/>
      <c r="L15" s="48"/>
    </row>
    <row r="16" ht="18.0" customHeight="1">
      <c r="A16" s="48"/>
      <c r="B16" s="44" t="s">
        <v>23</v>
      </c>
      <c r="C16" s="41"/>
      <c r="D16" s="42">
        <v>500.0</v>
      </c>
      <c r="E16" s="42">
        <f t="shared" si="3"/>
        <v>125</v>
      </c>
      <c r="F16" s="43"/>
      <c r="G16" s="50"/>
      <c r="H16" s="41"/>
      <c r="I16" s="51"/>
      <c r="J16" s="52" t="str">
        <f t="shared" ref="J16:J18" si="5">if(isblank($G16), "", sumif(Transactions!$J:$J,$G16,Transactions!$H:$H))</f>
        <v/>
      </c>
      <c r="K16" s="53" t="str">
        <f t="shared" ref="K16:K18" si="6">if(isblank($G16), "", J16-I16)</f>
        <v/>
      </c>
      <c r="L16" s="48"/>
    </row>
    <row r="17" ht="18.0" customHeight="1">
      <c r="A17" s="48"/>
      <c r="B17" s="44" t="s">
        <v>24</v>
      </c>
      <c r="C17" s="41"/>
      <c r="D17" s="42">
        <v>240.0</v>
      </c>
      <c r="E17" s="42">
        <f t="shared" si="3"/>
        <v>60</v>
      </c>
      <c r="F17" s="43"/>
      <c r="G17" s="50"/>
      <c r="H17" s="41"/>
      <c r="I17" s="51"/>
      <c r="J17" s="52" t="str">
        <f t="shared" si="5"/>
        <v/>
      </c>
      <c r="K17" s="53" t="str">
        <f t="shared" si="6"/>
        <v/>
      </c>
      <c r="L17" s="48"/>
    </row>
    <row r="18" ht="18.0" customHeight="1">
      <c r="A18" s="48"/>
      <c r="B18" s="40" t="s">
        <v>25</v>
      </c>
      <c r="C18" s="41"/>
      <c r="D18" s="42">
        <v>250.0</v>
      </c>
      <c r="E18" s="42">
        <f>D18/2</f>
        <v>125</v>
      </c>
      <c r="F18" s="43"/>
      <c r="G18" s="50"/>
      <c r="H18" s="41"/>
      <c r="I18" s="51"/>
      <c r="J18" s="52" t="str">
        <f t="shared" si="5"/>
        <v/>
      </c>
      <c r="K18" s="53" t="str">
        <f t="shared" si="6"/>
        <v/>
      </c>
      <c r="L18" s="48"/>
    </row>
    <row r="19" ht="18.0" customHeight="1">
      <c r="A19" s="48"/>
      <c r="B19" s="54"/>
      <c r="C19" s="54"/>
      <c r="D19" s="43"/>
      <c r="E19" s="43"/>
      <c r="F19" s="43"/>
      <c r="G19" s="55"/>
      <c r="H19" s="55"/>
      <c r="I19" s="56"/>
      <c r="J19" s="52"/>
      <c r="K19" s="53"/>
      <c r="L19" s="48"/>
    </row>
  </sheetData>
  <mergeCells count="21">
    <mergeCell ref="G10:H10"/>
    <mergeCell ref="G11:H11"/>
    <mergeCell ref="B2:F3"/>
    <mergeCell ref="I2:J2"/>
    <mergeCell ref="B6:C6"/>
    <mergeCell ref="B9:C9"/>
    <mergeCell ref="G9:H9"/>
    <mergeCell ref="B10:C10"/>
    <mergeCell ref="B11:C11"/>
    <mergeCell ref="B16:C16"/>
    <mergeCell ref="B17:C17"/>
    <mergeCell ref="B18:C18"/>
    <mergeCell ref="G17:H17"/>
    <mergeCell ref="G18:H18"/>
    <mergeCell ref="B12:C12"/>
    <mergeCell ref="G12:H12"/>
    <mergeCell ref="B13:C13"/>
    <mergeCell ref="G13:H13"/>
    <mergeCell ref="B14:C14"/>
    <mergeCell ref="B15:C15"/>
    <mergeCell ref="G16:H16"/>
  </mergeCells>
  <conditionalFormatting sqref="B9:C19 G9:G19">
    <cfRule type="notContainsBlanks" dxfId="0" priority="1">
      <formula>LEN(TRIM(B9))&gt;0</formula>
    </cfRule>
  </conditionalFormatting>
  <conditionalFormatting sqref="D9:D19 E9:E18 I12:I14">
    <cfRule type="expression" dxfId="0" priority="2">
      <formula>not(isblank(B9))</formula>
    </cfRule>
  </conditionalFormatting>
  <conditionalFormatting sqref="I9:I19 J9:J14">
    <cfRule type="expression" dxfId="0" priority="3">
      <formula>not(isblank(G9))</formula>
    </cfRule>
  </conditionalFormatting>
  <conditionalFormatting sqref="K8:K19">
    <cfRule type="cellIs" dxfId="1" priority="4" operator="lessThan">
      <formula>0</formula>
    </cfRule>
  </conditionalFormatting>
  <conditionalFormatting sqref="K9:K19">
    <cfRule type="cellIs" dxfId="2" priority="5" operator="equal">
      <formula>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21.0"/>
    <col customWidth="1" min="3" max="3" width="8.88"/>
    <col customWidth="1" min="4" max="4" width="18.5"/>
    <col customWidth="1" min="5" max="5" width="8.88"/>
    <col customWidth="1" min="6" max="6" width="23.63"/>
    <col customWidth="1" min="7" max="7" width="11.25"/>
    <col customWidth="1" min="8" max="8" width="10.25"/>
    <col customWidth="1" min="9" max="11" width="8.88"/>
    <col customWidth="1" min="12" max="12" width="6.13"/>
  </cols>
  <sheetData>
    <row r="1" ht="21.0" customHeight="1">
      <c r="A1" s="1"/>
      <c r="B1" s="2"/>
      <c r="C1" s="2"/>
      <c r="D1" s="2"/>
      <c r="E1" s="3"/>
      <c r="F1" s="3"/>
      <c r="G1" s="4"/>
      <c r="H1" s="4"/>
      <c r="I1" s="4"/>
      <c r="J1" s="4"/>
      <c r="K1" s="4"/>
      <c r="L1" s="4"/>
    </row>
    <row r="2" ht="18.0" customHeight="1">
      <c r="A2" s="5"/>
      <c r="B2" s="6" t="s">
        <v>0</v>
      </c>
      <c r="G2" s="4"/>
      <c r="H2" s="7"/>
      <c r="I2" s="8" t="s">
        <v>1</v>
      </c>
      <c r="K2" s="57">
        <v>0.0</v>
      </c>
      <c r="L2" s="4"/>
    </row>
    <row r="3" ht="18.0" customHeight="1">
      <c r="A3" s="5"/>
      <c r="G3" s="4"/>
      <c r="H3" s="10"/>
      <c r="I3" s="4"/>
      <c r="J3" s="4"/>
      <c r="K3" s="11"/>
      <c r="L3" s="4"/>
    </row>
    <row r="4" ht="19.5" customHeight="1">
      <c r="A4" s="12"/>
      <c r="B4" s="13" t="s">
        <v>2</v>
      </c>
      <c r="C4" s="58">
        <f>D8</f>
        <v>1305</v>
      </c>
      <c r="D4" s="15" t="s">
        <v>3</v>
      </c>
      <c r="E4" s="58">
        <f>I8</f>
        <v>1232</v>
      </c>
      <c r="F4" s="15" t="s">
        <v>4</v>
      </c>
      <c r="G4" s="59">
        <f>SUM(E4-C4)</f>
        <v>-73</v>
      </c>
      <c r="I4" s="17"/>
      <c r="J4" s="17"/>
      <c r="K4" s="17"/>
      <c r="L4" s="12"/>
    </row>
    <row r="5" ht="19.5" customHeight="1">
      <c r="A5" s="12"/>
      <c r="B5" s="13" t="s">
        <v>5</v>
      </c>
      <c r="C5" s="58">
        <f>C4/4</f>
        <v>326.25</v>
      </c>
      <c r="D5" s="15" t="s">
        <v>6</v>
      </c>
      <c r="E5" s="58">
        <f>E4/4</f>
        <v>308</v>
      </c>
      <c r="F5" s="15" t="s">
        <v>7</v>
      </c>
      <c r="G5" s="59">
        <f>G4/4</f>
        <v>-18.25</v>
      </c>
      <c r="I5" s="17"/>
      <c r="J5" s="17"/>
      <c r="K5" s="17"/>
      <c r="L5" s="12"/>
    </row>
    <row r="6" ht="25.5" customHeight="1">
      <c r="A6" s="18"/>
      <c r="B6" s="19" t="s">
        <v>8</v>
      </c>
      <c r="D6" s="20"/>
      <c r="E6" s="20"/>
      <c r="F6" s="20"/>
      <c r="G6" s="21" t="s">
        <v>9</v>
      </c>
      <c r="H6" s="22"/>
      <c r="I6" s="20"/>
      <c r="J6" s="20"/>
      <c r="K6" s="20"/>
      <c r="L6" s="18"/>
    </row>
    <row r="7" ht="13.5" customHeight="1">
      <c r="A7" s="18"/>
      <c r="B7" s="19"/>
      <c r="C7" s="19"/>
      <c r="D7" s="23" t="s">
        <v>10</v>
      </c>
      <c r="E7" s="23" t="s">
        <v>11</v>
      </c>
      <c r="F7" s="20"/>
      <c r="G7" s="21"/>
      <c r="H7" s="22"/>
      <c r="I7" s="23" t="s">
        <v>10</v>
      </c>
      <c r="J7" s="23" t="s">
        <v>11</v>
      </c>
      <c r="K7" s="20"/>
      <c r="L7" s="18"/>
    </row>
    <row r="8" ht="17.25" customHeight="1">
      <c r="A8" s="24"/>
      <c r="B8" s="25" t="s">
        <v>12</v>
      </c>
      <c r="C8" s="26"/>
      <c r="D8" s="60">
        <f t="shared" ref="D8:E8" si="1">sum(D9:D19)</f>
        <v>1305</v>
      </c>
      <c r="E8" s="60">
        <f t="shared" si="1"/>
        <v>345.25</v>
      </c>
      <c r="F8" s="28"/>
      <c r="G8" s="29" t="s">
        <v>12</v>
      </c>
      <c r="H8" s="30"/>
      <c r="I8" s="60">
        <f t="shared" ref="I8:J8" si="2">sum(I9:I18)</f>
        <v>1232</v>
      </c>
      <c r="J8" s="60">
        <f t="shared" si="2"/>
        <v>308</v>
      </c>
      <c r="K8" s="28"/>
      <c r="L8" s="24"/>
    </row>
    <row r="9" ht="18.0" hidden="1" customHeight="1">
      <c r="A9" s="31"/>
      <c r="B9" s="32"/>
      <c r="C9" s="33"/>
      <c r="D9" s="61"/>
      <c r="E9" s="61"/>
      <c r="F9" s="35"/>
      <c r="G9" s="36"/>
      <c r="H9" s="37"/>
      <c r="I9" s="62"/>
      <c r="J9" s="62"/>
      <c r="K9" s="39"/>
      <c r="L9" s="31"/>
    </row>
    <row r="10" ht="18.0" customHeight="1">
      <c r="A10" s="31"/>
      <c r="B10" s="40" t="s">
        <v>13</v>
      </c>
      <c r="C10" s="41"/>
      <c r="D10" s="63">
        <v>362.0</v>
      </c>
      <c r="E10" s="63">
        <f t="shared" ref="E10:E17" si="3">D10/4</f>
        <v>90.5</v>
      </c>
      <c r="F10" s="43"/>
      <c r="G10" s="44" t="s">
        <v>14</v>
      </c>
      <c r="H10" s="41"/>
      <c r="I10" s="64">
        <v>400.0</v>
      </c>
      <c r="J10" s="64">
        <f t="shared" ref="J10:J13" si="4">I10/4</f>
        <v>100</v>
      </c>
      <c r="K10" s="46"/>
      <c r="L10" s="31"/>
    </row>
    <row r="11" ht="18.0" customHeight="1">
      <c r="A11" s="31"/>
      <c r="B11" s="40" t="s">
        <v>15</v>
      </c>
      <c r="C11" s="41"/>
      <c r="D11" s="63">
        <v>392.0</v>
      </c>
      <c r="E11" s="63">
        <f t="shared" si="3"/>
        <v>98</v>
      </c>
      <c r="F11" s="43"/>
      <c r="G11" s="40" t="s">
        <v>16</v>
      </c>
      <c r="H11" s="41"/>
      <c r="I11" s="65">
        <v>300.0</v>
      </c>
      <c r="J11" s="65">
        <f t="shared" si="4"/>
        <v>75</v>
      </c>
      <c r="K11" s="46"/>
      <c r="L11" s="31"/>
    </row>
    <row r="12" ht="18.0" customHeight="1">
      <c r="A12" s="48"/>
      <c r="B12" s="40" t="s">
        <v>17</v>
      </c>
      <c r="C12" s="41"/>
      <c r="D12" s="63">
        <v>140.0</v>
      </c>
      <c r="E12" s="63">
        <f t="shared" si="3"/>
        <v>35</v>
      </c>
      <c r="F12" s="43"/>
      <c r="G12" s="44" t="s">
        <v>18</v>
      </c>
      <c r="H12" s="41"/>
      <c r="I12" s="63">
        <v>392.0</v>
      </c>
      <c r="J12" s="65">
        <f t="shared" si="4"/>
        <v>98</v>
      </c>
      <c r="K12" s="46"/>
      <c r="L12" s="48"/>
    </row>
    <row r="13" ht="18.0" customHeight="1">
      <c r="A13" s="48"/>
      <c r="B13" s="44" t="s">
        <v>19</v>
      </c>
      <c r="C13" s="41"/>
      <c r="D13" s="63">
        <v>45.0</v>
      </c>
      <c r="E13" s="63">
        <f t="shared" si="3"/>
        <v>11.25</v>
      </c>
      <c r="F13" s="43"/>
      <c r="G13" s="44" t="s">
        <v>20</v>
      </c>
      <c r="H13" s="41"/>
      <c r="I13" s="63">
        <v>140.0</v>
      </c>
      <c r="J13" s="65">
        <f t="shared" si="4"/>
        <v>35</v>
      </c>
      <c r="K13" s="46"/>
      <c r="L13" s="48"/>
    </row>
    <row r="14" ht="18.0" customHeight="1">
      <c r="A14" s="48"/>
      <c r="B14" s="44" t="s">
        <v>21</v>
      </c>
      <c r="C14" s="41"/>
      <c r="D14" s="66">
        <v>22.0</v>
      </c>
      <c r="E14" s="66">
        <f t="shared" si="3"/>
        <v>5.5</v>
      </c>
      <c r="F14" s="43"/>
      <c r="K14" s="46"/>
      <c r="L14" s="48"/>
    </row>
    <row r="15" ht="18.0" customHeight="1">
      <c r="A15" s="48"/>
      <c r="B15" s="44" t="s">
        <v>22</v>
      </c>
      <c r="C15" s="41"/>
      <c r="D15" s="66">
        <v>45.0</v>
      </c>
      <c r="E15" s="66">
        <f t="shared" si="3"/>
        <v>11.25</v>
      </c>
      <c r="F15" s="43"/>
      <c r="J15" s="43"/>
      <c r="K15" s="46"/>
      <c r="L15" s="48"/>
    </row>
    <row r="16" ht="18.0" customHeight="1">
      <c r="A16" s="48"/>
      <c r="B16" s="44" t="s">
        <v>23</v>
      </c>
      <c r="C16" s="41"/>
      <c r="D16" s="63">
        <v>150.0</v>
      </c>
      <c r="E16" s="63">
        <f t="shared" si="3"/>
        <v>37.5</v>
      </c>
      <c r="F16" s="43"/>
      <c r="G16" s="50"/>
      <c r="H16" s="41"/>
      <c r="I16" s="51"/>
      <c r="J16" s="52" t="str">
        <f t="shared" ref="J16:J18" si="5">if(isblank($G16), "", sumif(Transactions!$J:$J,$G16,Transactions!$H:$H))</f>
        <v/>
      </c>
      <c r="K16" s="53" t="str">
        <f t="shared" ref="K16:K18" si="6">if(isblank($G16), "", J16-I16)</f>
        <v/>
      </c>
      <c r="L16" s="48"/>
    </row>
    <row r="17" ht="18.0" customHeight="1">
      <c r="A17" s="48"/>
      <c r="B17" s="44" t="s">
        <v>24</v>
      </c>
      <c r="C17" s="41"/>
      <c r="D17" s="63">
        <v>73.0</v>
      </c>
      <c r="E17" s="63">
        <f t="shared" si="3"/>
        <v>18.25</v>
      </c>
      <c r="F17" s="43"/>
      <c r="G17" s="50"/>
      <c r="H17" s="41"/>
      <c r="I17" s="51"/>
      <c r="J17" s="52" t="str">
        <f t="shared" si="5"/>
        <v/>
      </c>
      <c r="K17" s="53" t="str">
        <f t="shared" si="6"/>
        <v/>
      </c>
      <c r="L17" s="48"/>
    </row>
    <row r="18" ht="18.0" customHeight="1">
      <c r="A18" s="48"/>
      <c r="B18" s="40" t="s">
        <v>25</v>
      </c>
      <c r="C18" s="41"/>
      <c r="D18" s="63">
        <v>76.0</v>
      </c>
      <c r="E18" s="63">
        <f>D18/2</f>
        <v>38</v>
      </c>
      <c r="F18" s="43"/>
      <c r="G18" s="50"/>
      <c r="H18" s="41"/>
      <c r="I18" s="51"/>
      <c r="J18" s="52" t="str">
        <f t="shared" si="5"/>
        <v/>
      </c>
      <c r="K18" s="53" t="str">
        <f t="shared" si="6"/>
        <v/>
      </c>
      <c r="L18" s="48"/>
    </row>
    <row r="19" ht="18.0" customHeight="1">
      <c r="A19" s="48"/>
      <c r="B19" s="54"/>
      <c r="C19" s="54"/>
      <c r="D19" s="43"/>
      <c r="E19" s="43"/>
      <c r="F19" s="43"/>
      <c r="G19" s="55"/>
      <c r="H19" s="55"/>
      <c r="I19" s="56"/>
      <c r="J19" s="52"/>
      <c r="K19" s="53"/>
      <c r="L19" s="48"/>
    </row>
  </sheetData>
  <mergeCells count="21">
    <mergeCell ref="G10:H10"/>
    <mergeCell ref="G11:H11"/>
    <mergeCell ref="B2:F3"/>
    <mergeCell ref="I2:J2"/>
    <mergeCell ref="B6:C6"/>
    <mergeCell ref="B9:C9"/>
    <mergeCell ref="G9:H9"/>
    <mergeCell ref="B10:C10"/>
    <mergeCell ref="B11:C11"/>
    <mergeCell ref="B16:C16"/>
    <mergeCell ref="B17:C17"/>
    <mergeCell ref="B18:C18"/>
    <mergeCell ref="G17:H17"/>
    <mergeCell ref="G18:H18"/>
    <mergeCell ref="B12:C12"/>
    <mergeCell ref="G12:H12"/>
    <mergeCell ref="B13:C13"/>
    <mergeCell ref="G13:H13"/>
    <mergeCell ref="B14:C14"/>
    <mergeCell ref="B15:C15"/>
    <mergeCell ref="G16:H16"/>
  </mergeCells>
  <conditionalFormatting sqref="B9:C19 G9:G19">
    <cfRule type="notContainsBlanks" dxfId="0" priority="1">
      <formula>LEN(TRIM(B9))&gt;0</formula>
    </cfRule>
  </conditionalFormatting>
  <conditionalFormatting sqref="D9:D19 E9:E18 I12:I14">
    <cfRule type="expression" dxfId="0" priority="2">
      <formula>not(isblank(B9))</formula>
    </cfRule>
  </conditionalFormatting>
  <conditionalFormatting sqref="I9:I19 J9:J14">
    <cfRule type="expression" dxfId="0" priority="3">
      <formula>not(isblank(G9))</formula>
    </cfRule>
  </conditionalFormatting>
  <conditionalFormatting sqref="K8:K19">
    <cfRule type="cellIs" dxfId="1" priority="4" operator="lessThan">
      <formula>0</formula>
    </cfRule>
  </conditionalFormatting>
  <conditionalFormatting sqref="K9:K19">
    <cfRule type="cellIs" dxfId="2" priority="5" operator="equal">
      <formula>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